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Summary" sheetId="3" state="visible" r:id="rId3"/>
    <sheet name="Categories" sheetId="4" state="visible" r:id="rId4"/>
    <sheet name="Top Merchants" sheetId="5" state="visible" r:id="rId5"/>
    <sheet name="Anomalies" sheetId="6" state="visible" r:id="rId6"/>
  </sheets>
  <definedNames>
    <definedName name="_xlnm._FilterDatabase" localSheetId="1" hidden="1">'Transactions'!$A$1:$K$1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&gt;=10000000]&quot;₹&quot;##\,##\,##\,##0.00;[&gt;=100000]&quot;₹&quot;##\,##\,##0.00;&quot;₹&quot;##,##0.00"/>
    <numFmt numFmtId="165" formatCode="yyyy-mm-dd"/>
    <numFmt numFmtId="166" formatCode="DD/MM/YYYY"/>
  </numFmts>
  <fonts count="23">
    <font>
      <name val="Calibri"/>
      <family val="2"/>
      <color theme="1"/>
      <sz val="11"/>
      <scheme val="minor"/>
    </font>
    <font>
      <name val="Arial"/>
      <b val="1"/>
      <color rgb="002471A3"/>
      <sz val="14"/>
    </font>
    <font>
      <name val="Arial"/>
      <b val="1"/>
      <sz val="10"/>
    </font>
    <font>
      <name val="Arial"/>
      <color rgb="001E8449"/>
      <sz val="10"/>
    </font>
    <font>
      <name val="Arial"/>
      <color rgb="00C0392B"/>
      <sz val="10"/>
    </font>
    <font>
      <name val="Arial"/>
      <b val="1"/>
      <color rgb="001E8449"/>
      <sz val="10"/>
    </font>
    <font>
      <name val="Arial"/>
      <color rgb="002471A3"/>
      <sz val="10"/>
    </font>
    <font>
      <name val="Arial"/>
      <b val="1"/>
      <color rgb="002471A3"/>
      <sz val="10"/>
    </font>
    <font>
      <name val="Arial"/>
      <i val="1"/>
      <color rgb="00777777"/>
      <sz val="8.5"/>
    </font>
    <font>
      <name val="Arial"/>
      <b val="1"/>
      <color rgb="002471A3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E8449"/>
      <sz val="9"/>
    </font>
    <font>
      <name val="Arial"/>
      <color rgb="00C0392B"/>
      <sz val="9"/>
    </font>
    <font>
      <name val="Arial"/>
      <b val="1"/>
      <color rgb="001E8449"/>
      <sz val="9"/>
    </font>
    <font>
      <name val="Arial"/>
      <b val="1"/>
      <color rgb="00C0392B"/>
      <sz val="9"/>
    </font>
    <font>
      <name val="Arial"/>
      <b val="1"/>
      <color rgb="00922B21"/>
      <sz val="9"/>
    </font>
    <font>
      <name val="Arial"/>
      <b val="1"/>
      <color rgb="00922B21"/>
      <sz val="12"/>
      <u val="single"/>
    </font>
    <font>
      <name val="Arial"/>
      <color rgb="00222222"/>
      <sz val="10"/>
    </font>
    <font>
      <name val="Arial"/>
      <i val="1"/>
      <color rgb="00555555"/>
      <sz val="10"/>
    </font>
    <font>
      <name val="Arial"/>
      <b val="1"/>
      <color rgb="001155CC"/>
      <sz val="9"/>
    </font>
    <font>
      <name val="Arial"/>
      <b val="1"/>
      <color rgb="00444444"/>
      <sz val="10"/>
    </font>
    <font>
      <name val="Arial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FF4F9"/>
      </patternFill>
    </fill>
    <fill>
      <patternFill patternType="solid">
        <fgColor rgb="00FDECEA"/>
      </patternFill>
    </fill>
    <fill>
      <patternFill patternType="solid">
        <fgColor rgb="00922B21"/>
      </patternFill>
    </fill>
    <fill>
      <patternFill patternType="solid">
        <fgColor rgb="00FFF8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vertical="center"/>
    </xf>
    <xf numFmtId="164" fontId="12" fillId="3" borderId="1" applyAlignment="1" pivotButton="0" quotePrefix="0" xfId="0">
      <alignment vertical="center"/>
    </xf>
    <xf numFmtId="164" fontId="13" fillId="3" borderId="1" applyAlignment="1" pivotButton="0" quotePrefix="0" xfId="0">
      <alignment vertical="center"/>
    </xf>
    <xf numFmtId="164" fontId="14" fillId="3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164" fontId="12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164" fontId="15" fillId="0" borderId="1" applyAlignment="1" pivotButton="0" quotePrefix="0" xfId="0">
      <alignment vertical="center"/>
    </xf>
    <xf numFmtId="166" fontId="11" fillId="3" borderId="1" applyAlignment="1" pivotButton="0" quotePrefix="0" xfId="0">
      <alignment vertical="center"/>
    </xf>
    <xf numFmtId="164" fontId="11" fillId="3" borderId="1" applyAlignment="1" pivotButton="0" quotePrefix="0" xfId="0">
      <alignment vertical="center"/>
    </xf>
    <xf numFmtId="166" fontId="11" fillId="0" borderId="1" applyAlignment="1" pivotButton="0" quotePrefix="0" xfId="0">
      <alignment vertical="center"/>
    </xf>
    <xf numFmtId="164" fontId="11" fillId="0" borderId="1" applyAlignment="1" pivotButton="0" quotePrefix="0" xfId="0">
      <alignment vertical="center"/>
    </xf>
    <xf numFmtId="166" fontId="11" fillId="4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164" fontId="13" fillId="4" borderId="1" applyAlignment="1" pivotButton="0" quotePrefix="0" xfId="0">
      <alignment vertical="center"/>
    </xf>
    <xf numFmtId="164" fontId="11" fillId="4" borderId="1" applyAlignment="1" pivotButton="0" quotePrefix="0" xfId="0">
      <alignment vertical="center"/>
    </xf>
    <xf numFmtId="0" fontId="16" fillId="4" borderId="1" applyAlignment="1" pivotButton="0" quotePrefix="0" xfId="0">
      <alignment vertical="center"/>
    </xf>
    <xf numFmtId="164" fontId="14" fillId="0" borderId="1" applyAlignment="1" pivotButton="0" quotePrefix="0" xfId="0">
      <alignment vertical="center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0" fillId="5" borderId="1" applyAlignment="1" pivotButton="0" quotePrefix="0" xfId="0">
      <alignment horizontal="center" vertical="center" wrapText="1"/>
    </xf>
    <xf numFmtId="4" fontId="16" fillId="4" borderId="1" applyAlignment="1" pivotButton="0" quotePrefix="0" xfId="0">
      <alignment vertical="center"/>
    </xf>
    <xf numFmtId="0" fontId="20" fillId="4" borderId="1" applyAlignment="1" pivotButton="0" quotePrefix="0" xfId="0">
      <alignment vertical="center"/>
    </xf>
    <xf numFmtId="0" fontId="21" fillId="0" borderId="0" pivotButton="0" quotePrefix="0" xfId="0"/>
    <xf numFmtId="0" fontId="2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Income vs Expense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Summary'!B1</f>
            </strRef>
          </tx>
          <spPr>
            <a:solidFill>
              <a:srgbClr val="1E8449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'Monthly Summary'!$A$2:$A$5</f>
            </numRef>
          </cat>
          <val>
            <numRef>
              <f>'Monthly Summary'!$B$2:$B$5</f>
            </numRef>
          </val>
        </ser>
        <ser>
          <idx val="1"/>
          <order val="1"/>
          <tx>
            <strRef>
              <f>'Monthly Summary'!C1</f>
            </strRef>
          </tx>
          <spPr>
            <a:solidFill>
              <a:srgbClr val="C0392B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'Monthly Summary'!$A$2:$A$5</f>
            </numRef>
          </cat>
          <val>
            <numRef>
              <f>'Monthly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(Rs.)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'Categories'!B1</f>
            </strRef>
          </tx>
          <spPr>
            <a:ln>
              <a:prstDash val="solid"/>
            </a:ln>
          </spPr>
          <cat>
            <numRef>
              <f>'Categories'!$A$2:$A$8</f>
            </numRef>
          </cat>
          <val>
            <numRef>
              <f>'Categories'!$B$2:$B$8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Merchants by Spend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Merchants'!B1</f>
            </strRef>
          </tx>
          <spPr>
            <a:solidFill>
              <a:srgbClr val="2471A3"/>
            </a:solidFill>
            <a:ln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'Top Merchants'!$A$2:$A$11</f>
            </numRef>
          </cat>
          <val>
            <numRef>
              <f>'Top Merchants'!$B$2:$B$11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 Spent (Rs.)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Transactions'!A1" TargetMode="External" Id="rId1" /><Relationship Type="http://schemas.openxmlformats.org/officeDocument/2006/relationships/hyperlink" Target="#'Transactions'!A14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Bank Statement — Analysis</t>
        </is>
      </c>
    </row>
    <row r="3">
      <c r="A3" s="2" t="inlineStr">
        <is>
          <t>Total Income</t>
        </is>
      </c>
      <c r="B3" s="3" t="n">
        <v>207000</v>
      </c>
    </row>
    <row r="4">
      <c r="A4" s="2" t="inlineStr">
        <is>
          <t>Total Expenses</t>
        </is>
      </c>
      <c r="B4" s="4" t="n">
        <v>78827</v>
      </c>
    </row>
    <row r="5">
      <c r="A5" s="2" t="inlineStr">
        <is>
          <t>Net Cash Flow</t>
        </is>
      </c>
      <c r="B5" s="5" t="n">
        <v>128173</v>
      </c>
    </row>
    <row r="6">
      <c r="A6" s="2" t="inlineStr">
        <is>
          <t>Total Transactions</t>
        </is>
      </c>
      <c r="B6" s="6" t="n">
        <v>25</v>
      </c>
    </row>
    <row r="7">
      <c r="A7" s="2" t="inlineStr">
        <is>
          <t>Expense Transactions</t>
        </is>
      </c>
      <c r="B7" s="7" t="n">
        <v>22</v>
      </c>
    </row>
    <row r="8">
      <c r="A8" s="2" t="inlineStr">
        <is>
          <t>Income Transactions</t>
        </is>
      </c>
      <c r="B8" s="8" t="n">
        <v>3</v>
      </c>
    </row>
    <row r="9">
      <c r="A9" s="2" t="inlineStr">
        <is>
          <t>Avg Expense</t>
        </is>
      </c>
      <c r="B9" s="4" t="n">
        <v>3583.045454545455</v>
      </c>
    </row>
    <row r="10">
      <c r="A10" s="2" t="inlineStr">
        <is>
          <t>Largest Expense</t>
        </is>
      </c>
      <c r="B10" s="4" t="n">
        <v>45000</v>
      </c>
    </row>
    <row r="11">
      <c r="A11" s="2" t="inlineStr">
        <is>
          <t>Largest Credit</t>
        </is>
      </c>
      <c r="B11" s="3" t="n">
        <v>71000</v>
      </c>
    </row>
    <row r="13">
      <c r="A13" s="9" t="inlineStr">
        <is>
          <t>Tax-Deductible Total (Business)</t>
        </is>
      </c>
      <c r="B13" s="10">
        <f>SUMIF(Transactions!K:K,"Yes - Business",Transactions!F:F)</f>
        <v/>
      </c>
    </row>
    <row r="14">
      <c r="A14" s="11" t="inlineStr">
        <is>
          <t>↳ Mark transactions on the Transactions sheet (column K) to populate this.</t>
        </is>
      </c>
    </row>
    <row r="16">
      <c r="A16" s="12" t="inlineStr">
        <is>
          <t>By Financial Year (Apr–Mar)</t>
        </is>
      </c>
    </row>
    <row r="17">
      <c r="A17" s="13" t="inlineStr">
        <is>
          <t>Financial Year</t>
        </is>
      </c>
      <c r="B17" s="13" t="inlineStr">
        <is>
          <t>Income (₹)</t>
        </is>
      </c>
      <c r="C17" s="13" t="inlineStr">
        <is>
          <t>Expense (₹)</t>
        </is>
      </c>
      <c r="D17" s="13" t="inlineStr">
        <is>
          <t>Net (₹)</t>
        </is>
      </c>
    </row>
    <row r="18">
      <c r="A18" s="14" t="inlineStr">
        <is>
          <t>FY 2025-26</t>
        </is>
      </c>
      <c r="B18" s="15" t="n">
        <v>207000</v>
      </c>
      <c r="C18" s="16" t="n">
        <v>73627</v>
      </c>
      <c r="D18" s="17" t="n">
        <v>133373</v>
      </c>
    </row>
    <row r="19">
      <c r="A19" s="18" t="inlineStr">
        <is>
          <t>FY 2026-27</t>
        </is>
      </c>
      <c r="B19" s="19" t="n">
        <v>0</v>
      </c>
      <c r="C19" s="20" t="n">
        <v>5200</v>
      </c>
      <c r="D19" s="21" t="n">
        <v>-5200</v>
      </c>
    </row>
  </sheetData>
  <mergeCells count="3">
    <mergeCell ref="A14:B14"/>
    <mergeCell ref="A16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20" customWidth="1" min="9" max="9"/>
    <col width="8" customWidth="1" min="10" max="10"/>
    <col width="18" customWidth="1" min="11" max="11"/>
  </cols>
  <sheetData>
    <row r="1" ht="28" customHeight="1">
      <c r="A1" s="13" t="inlineStr">
        <is>
          <t>Date</t>
        </is>
      </c>
      <c r="B1" s="13" t="inlineStr">
        <is>
          <t>Merchant</t>
        </is>
      </c>
      <c r="C1" s="13" t="inlineStr">
        <is>
          <t>Narration</t>
        </is>
      </c>
      <c r="D1" s="13" t="inlineStr">
        <is>
          <t>Ref No</t>
        </is>
      </c>
      <c r="E1" s="13" t="inlineStr">
        <is>
          <t>Value Date</t>
        </is>
      </c>
      <c r="F1" s="13" t="inlineStr">
        <is>
          <t>Debit (₹)</t>
        </is>
      </c>
      <c r="G1" s="13" t="inlineStr">
        <is>
          <t>Credit (₹)</t>
        </is>
      </c>
      <c r="H1" s="13" t="inlineStr">
        <is>
          <t>Balance (₹)</t>
        </is>
      </c>
      <c r="I1" s="13" t="inlineStr">
        <is>
          <t>Category</t>
        </is>
      </c>
      <c r="J1" s="13" t="inlineStr">
        <is>
          <t>Flag</t>
        </is>
      </c>
      <c r="K1" s="13" t="inlineStr">
        <is>
          <t>Tax Deductible?</t>
        </is>
      </c>
    </row>
    <row r="2">
      <c r="A2" s="22" t="n">
        <v>46025</v>
      </c>
      <c r="B2" s="14" t="inlineStr">
        <is>
          <t>Acme Corp</t>
        </is>
      </c>
      <c r="C2" s="14" t="inlineStr">
        <is>
          <t>SAL/ACME CORP/JAN</t>
        </is>
      </c>
      <c r="D2" s="14" t="inlineStr">
        <is>
          <t>00006420260103863</t>
        </is>
      </c>
      <c r="E2" s="22" t="n">
        <v>46025</v>
      </c>
      <c r="F2" s="23" t="n"/>
      <c r="G2" s="15" t="n">
        <v>68000</v>
      </c>
      <c r="H2" s="23" t="n">
        <v>118000</v>
      </c>
      <c r="I2" s="14" t="inlineStr">
        <is>
          <t>Salary / Income</t>
        </is>
      </c>
      <c r="J2" s="14" t="inlineStr"/>
      <c r="K2" s="14" t="inlineStr"/>
    </row>
    <row r="3">
      <c r="A3" s="24" t="n">
        <v>46026</v>
      </c>
      <c r="B3" s="18" t="inlineStr">
        <is>
          <t>Swiggy</t>
        </is>
      </c>
      <c r="C3" s="18" t="inlineStr">
        <is>
          <t>UPI-SWIGGY-swiggy@ybl</t>
        </is>
      </c>
      <c r="D3" s="18" t="inlineStr">
        <is>
          <t>00006420260104287</t>
        </is>
      </c>
      <c r="E3" s="24" t="n">
        <v>46026</v>
      </c>
      <c r="F3" s="20" t="n">
        <v>480</v>
      </c>
      <c r="G3" s="25" t="n"/>
      <c r="H3" s="25" t="n">
        <v>117520</v>
      </c>
      <c r="I3" s="18" t="inlineStr">
        <is>
          <t>Food &amp; Dining</t>
        </is>
      </c>
      <c r="J3" s="18" t="inlineStr"/>
      <c r="K3" s="18" t="inlineStr"/>
    </row>
    <row r="4">
      <c r="A4" s="22" t="n">
        <v>46028</v>
      </c>
      <c r="B4" s="14" t="inlineStr">
        <is>
          <t>Big Bazaar</t>
        </is>
      </c>
      <c r="C4" s="14" t="inlineStr">
        <is>
          <t>UPI-BIGBAZAAR-bb@okhdfc</t>
        </is>
      </c>
      <c r="D4" s="14" t="inlineStr">
        <is>
          <t>00006420260106854</t>
        </is>
      </c>
      <c r="E4" s="22" t="n">
        <v>46028</v>
      </c>
      <c r="F4" s="16" t="n">
        <v>3200</v>
      </c>
      <c r="G4" s="23" t="n"/>
      <c r="H4" s="23" t="n">
        <v>114320</v>
      </c>
      <c r="I4" s="14" t="inlineStr">
        <is>
          <t>Shopping</t>
        </is>
      </c>
      <c r="J4" s="14" t="inlineStr"/>
      <c r="K4" s="14" t="inlineStr"/>
    </row>
    <row r="5">
      <c r="A5" s="24" t="n">
        <v>46030</v>
      </c>
      <c r="B5" s="18" t="inlineStr">
        <is>
          <t>Uber</t>
        </is>
      </c>
      <c r="C5" s="18" t="inlineStr">
        <is>
          <t>UPI-UBER-uber@paytm</t>
        </is>
      </c>
      <c r="D5" s="18" t="inlineStr">
        <is>
          <t>00006420260108014</t>
        </is>
      </c>
      <c r="E5" s="24" t="n">
        <v>46030</v>
      </c>
      <c r="F5" s="20" t="n">
        <v>340</v>
      </c>
      <c r="G5" s="25" t="n"/>
      <c r="H5" s="25" t="n">
        <v>113980</v>
      </c>
      <c r="I5" s="18" t="inlineStr">
        <is>
          <t>Transport</t>
        </is>
      </c>
      <c r="J5" s="18" t="inlineStr"/>
      <c r="K5" s="18" t="inlineStr"/>
    </row>
    <row r="6">
      <c r="A6" s="22" t="n">
        <v>46032</v>
      </c>
      <c r="B6" s="14" t="inlineStr">
        <is>
          <t>Netflix</t>
        </is>
      </c>
      <c r="C6" s="14" t="inlineStr">
        <is>
          <t>UPI-NETFLIX-netflix-bil</t>
        </is>
      </c>
      <c r="D6" s="14" t="inlineStr">
        <is>
          <t>00006420260110704</t>
        </is>
      </c>
      <c r="E6" s="22" t="n">
        <v>46032</v>
      </c>
      <c r="F6" s="16" t="n">
        <v>649</v>
      </c>
      <c r="G6" s="23" t="n"/>
      <c r="H6" s="23" t="n">
        <v>113331</v>
      </c>
      <c r="I6" s="14" t="inlineStr">
        <is>
          <t>Entertainment</t>
        </is>
      </c>
      <c r="J6" s="14" t="inlineStr"/>
      <c r="K6" s="14" t="inlineStr"/>
    </row>
    <row r="7">
      <c r="A7" s="24" t="n">
        <v>46034</v>
      </c>
      <c r="B7" s="18" t="inlineStr">
        <is>
          <t>Electricity Board</t>
        </is>
      </c>
      <c r="C7" s="18" t="inlineStr">
        <is>
          <t>UPI-ELECTRICITYBOARD-bil</t>
        </is>
      </c>
      <c r="D7" s="18" t="inlineStr">
        <is>
          <t>00006420260112351</t>
        </is>
      </c>
      <c r="E7" s="24" t="n">
        <v>46034</v>
      </c>
      <c r="F7" s="20" t="n">
        <v>2100</v>
      </c>
      <c r="G7" s="25" t="n"/>
      <c r="H7" s="25" t="n">
        <v>111231</v>
      </c>
      <c r="I7" s="18" t="inlineStr">
        <is>
          <t>Bills &amp; Utilities</t>
        </is>
      </c>
      <c r="J7" s="18" t="inlineStr"/>
      <c r="K7" s="18" t="inlineStr"/>
    </row>
    <row r="8">
      <c r="A8" s="22" t="n">
        <v>46037</v>
      </c>
      <c r="B8" s="14" t="inlineStr">
        <is>
          <t>Apollo Pharmacy</t>
        </is>
      </c>
      <c r="C8" s="14" t="inlineStr">
        <is>
          <t>UPI-APOLLOPHARMACY-med</t>
        </is>
      </c>
      <c r="D8" s="14" t="inlineStr">
        <is>
          <t>00006420260115007</t>
        </is>
      </c>
      <c r="E8" s="22" t="n">
        <v>46037</v>
      </c>
      <c r="F8" s="16" t="n">
        <v>860</v>
      </c>
      <c r="G8" s="23" t="n"/>
      <c r="H8" s="23" t="n">
        <v>110371</v>
      </c>
      <c r="I8" s="14" t="inlineStr">
        <is>
          <t>Health</t>
        </is>
      </c>
      <c r="J8" s="14" t="inlineStr"/>
      <c r="K8" s="14" t="inlineStr"/>
    </row>
    <row r="9">
      <c r="A9" s="24" t="n">
        <v>46040</v>
      </c>
      <c r="B9" s="18" t="inlineStr">
        <is>
          <t>Swiggy</t>
        </is>
      </c>
      <c r="C9" s="18" t="inlineStr">
        <is>
          <t>UPI-SWIGGY-swiggy@ybl</t>
        </is>
      </c>
      <c r="D9" s="18" t="inlineStr">
        <is>
          <t>00006420260118287</t>
        </is>
      </c>
      <c r="E9" s="24" t="n">
        <v>46040</v>
      </c>
      <c r="F9" s="20" t="n">
        <v>610</v>
      </c>
      <c r="G9" s="25" t="n"/>
      <c r="H9" s="25" t="n">
        <v>109761</v>
      </c>
      <c r="I9" s="18" t="inlineStr">
        <is>
          <t>Food &amp; Dining</t>
        </is>
      </c>
      <c r="J9" s="18" t="inlineStr"/>
      <c r="K9" s="18" t="inlineStr"/>
    </row>
    <row r="10">
      <c r="A10" s="22" t="n">
        <v>46044</v>
      </c>
      <c r="B10" s="14" t="inlineStr">
        <is>
          <t>Amazon</t>
        </is>
      </c>
      <c r="C10" s="14" t="inlineStr">
        <is>
          <t>UPI-AMAZON-amazon@apl</t>
        </is>
      </c>
      <c r="D10" s="14" t="inlineStr">
        <is>
          <t>00006420260122084</t>
        </is>
      </c>
      <c r="E10" s="22" t="n">
        <v>46044</v>
      </c>
      <c r="F10" s="16" t="n">
        <v>4500</v>
      </c>
      <c r="G10" s="23" t="n"/>
      <c r="H10" s="23" t="n">
        <v>105261</v>
      </c>
      <c r="I10" s="14" t="inlineStr">
        <is>
          <t>Shopping</t>
        </is>
      </c>
      <c r="J10" s="14" t="inlineStr"/>
      <c r="K10" s="14" t="inlineStr"/>
    </row>
    <row r="11">
      <c r="A11" s="24" t="n">
        <v>46050</v>
      </c>
      <c r="B11" s="18" t="inlineStr">
        <is>
          <t>Gym Fit</t>
        </is>
      </c>
      <c r="C11" s="18" t="inlineStr">
        <is>
          <t>UPI-GYMFIT-gymfit@okic</t>
        </is>
      </c>
      <c r="D11" s="18" t="inlineStr">
        <is>
          <t>00006420260128371</t>
        </is>
      </c>
      <c r="E11" s="24" t="n">
        <v>46050</v>
      </c>
      <c r="F11" s="20" t="n">
        <v>1200</v>
      </c>
      <c r="G11" s="25" t="n"/>
      <c r="H11" s="25" t="n">
        <v>104061</v>
      </c>
      <c r="I11" s="18" t="inlineStr">
        <is>
          <t>Health</t>
        </is>
      </c>
      <c r="J11" s="18" t="inlineStr"/>
      <c r="K11" s="18" t="inlineStr"/>
    </row>
    <row r="12">
      <c r="A12" s="22" t="n">
        <v>46056</v>
      </c>
      <c r="B12" s="14" t="inlineStr">
        <is>
          <t>Acme Corp</t>
        </is>
      </c>
      <c r="C12" s="14" t="inlineStr">
        <is>
          <t>SAL/ACME CORP/FEB</t>
        </is>
      </c>
      <c r="D12" s="14" t="inlineStr">
        <is>
          <t>00006420260203998</t>
        </is>
      </c>
      <c r="E12" s="22" t="n">
        <v>46056</v>
      </c>
      <c r="F12" s="23" t="n"/>
      <c r="G12" s="15" t="n">
        <v>68000</v>
      </c>
      <c r="H12" s="23" t="n">
        <v>172061</v>
      </c>
      <c r="I12" s="14" t="inlineStr">
        <is>
          <t>Salary / Income</t>
        </is>
      </c>
      <c r="J12" s="14" t="inlineStr"/>
      <c r="K12" s="14" t="inlineStr"/>
    </row>
    <row r="13">
      <c r="A13" s="24" t="n">
        <v>46058</v>
      </c>
      <c r="B13" s="18" t="inlineStr">
        <is>
          <t>Swiggy</t>
        </is>
      </c>
      <c r="C13" s="18" t="inlineStr">
        <is>
          <t>UPI-SWIGGY-swiggy@ybl</t>
        </is>
      </c>
      <c r="D13" s="18" t="inlineStr">
        <is>
          <t>00006420260205287</t>
        </is>
      </c>
      <c r="E13" s="24" t="n">
        <v>46058</v>
      </c>
      <c r="F13" s="20" t="n">
        <v>720</v>
      </c>
      <c r="G13" s="25" t="n"/>
      <c r="H13" s="25" t="n">
        <v>171341</v>
      </c>
      <c r="I13" s="18" t="inlineStr">
        <is>
          <t>Food &amp; Dining</t>
        </is>
      </c>
      <c r="J13" s="18" t="inlineStr"/>
      <c r="K13" s="18" t="inlineStr"/>
    </row>
    <row r="14">
      <c r="A14" s="26" t="n">
        <v>46062</v>
      </c>
      <c r="B14" s="27" t="inlineStr">
        <is>
          <t>Croma Electronics</t>
        </is>
      </c>
      <c r="C14" s="27" t="inlineStr">
        <is>
          <t>UPI-CROMA-electronics</t>
        </is>
      </c>
      <c r="D14" s="27" t="inlineStr">
        <is>
          <t>00006420260209224</t>
        </is>
      </c>
      <c r="E14" s="26" t="n">
        <v>46062</v>
      </c>
      <c r="F14" s="28" t="n">
        <v>45000</v>
      </c>
      <c r="G14" s="29" t="n"/>
      <c r="H14" s="29" t="n">
        <v>126341</v>
      </c>
      <c r="I14" s="27" t="inlineStr">
        <is>
          <t>Shopping</t>
        </is>
      </c>
      <c r="J14" s="30" t="inlineStr">
        <is>
          <t>⚠</t>
        </is>
      </c>
      <c r="K14" s="27" t="inlineStr"/>
    </row>
    <row r="15">
      <c r="A15" s="24" t="n">
        <v>46063</v>
      </c>
      <c r="B15" s="18" t="inlineStr">
        <is>
          <t>Netflix</t>
        </is>
      </c>
      <c r="C15" s="18" t="inlineStr">
        <is>
          <t>UPI-NETFLIX-netflix-bil</t>
        </is>
      </c>
      <c r="D15" s="18" t="inlineStr">
        <is>
          <t>00006420260210704</t>
        </is>
      </c>
      <c r="E15" s="24" t="n">
        <v>46063</v>
      </c>
      <c r="F15" s="20" t="n">
        <v>649</v>
      </c>
      <c r="G15" s="25" t="n"/>
      <c r="H15" s="25" t="n">
        <v>125692</v>
      </c>
      <c r="I15" s="18" t="inlineStr">
        <is>
          <t>Entertainment</t>
        </is>
      </c>
      <c r="J15" s="18" t="inlineStr"/>
      <c r="K15" s="18" t="inlineStr"/>
    </row>
    <row r="16">
      <c r="A16" s="22" t="n">
        <v>46066</v>
      </c>
      <c r="B16" s="14" t="inlineStr">
        <is>
          <t>Uber</t>
        </is>
      </c>
      <c r="C16" s="14" t="inlineStr">
        <is>
          <t>UPI-UBER-uber@paytm</t>
        </is>
      </c>
      <c r="D16" s="14" t="inlineStr">
        <is>
          <t>00006420260213014</t>
        </is>
      </c>
      <c r="E16" s="22" t="n">
        <v>46066</v>
      </c>
      <c r="F16" s="16" t="n">
        <v>410</v>
      </c>
      <c r="G16" s="23" t="n"/>
      <c r="H16" s="23" t="n">
        <v>125282</v>
      </c>
      <c r="I16" s="14" t="inlineStr">
        <is>
          <t>Transport</t>
        </is>
      </c>
      <c r="J16" s="14" t="inlineStr"/>
      <c r="K16" s="14" t="inlineStr"/>
    </row>
    <row r="17">
      <c r="A17" s="24" t="n">
        <v>46067</v>
      </c>
      <c r="B17" s="18" t="inlineStr">
        <is>
          <t>Electricity Board</t>
        </is>
      </c>
      <c r="C17" s="18" t="inlineStr">
        <is>
          <t>UPI-ELECTRICITYBOARD-bil</t>
        </is>
      </c>
      <c r="D17" s="18" t="inlineStr">
        <is>
          <t>00006420260214351</t>
        </is>
      </c>
      <c r="E17" s="24" t="n">
        <v>46067</v>
      </c>
      <c r="F17" s="20" t="n">
        <v>2250</v>
      </c>
      <c r="G17" s="25" t="n"/>
      <c r="H17" s="25" t="n">
        <v>123032</v>
      </c>
      <c r="I17" s="18" t="inlineStr">
        <is>
          <t>Bills &amp; Utilities</t>
        </is>
      </c>
      <c r="J17" s="18" t="inlineStr"/>
      <c r="K17" s="18" t="inlineStr"/>
    </row>
    <row r="18">
      <c r="A18" s="22" t="n">
        <v>46072</v>
      </c>
      <c r="B18" s="14" t="inlineStr">
        <is>
          <t>Big Bazaar</t>
        </is>
      </c>
      <c r="C18" s="14" t="inlineStr">
        <is>
          <t>UPI-BIGBAZAAR-bb@okhdfc</t>
        </is>
      </c>
      <c r="D18" s="14" t="inlineStr">
        <is>
          <t>00006420260219854</t>
        </is>
      </c>
      <c r="E18" s="22" t="n">
        <v>46072</v>
      </c>
      <c r="F18" s="16" t="n">
        <v>2800</v>
      </c>
      <c r="G18" s="23" t="n"/>
      <c r="H18" s="23" t="n">
        <v>120232</v>
      </c>
      <c r="I18" s="14" t="inlineStr">
        <is>
          <t>Shopping</t>
        </is>
      </c>
      <c r="J18" s="14" t="inlineStr"/>
      <c r="K18" s="14" t="inlineStr"/>
    </row>
    <row r="19">
      <c r="A19" s="24" t="n">
        <v>46077</v>
      </c>
      <c r="B19" s="18" t="inlineStr">
        <is>
          <t>Gym Fit</t>
        </is>
      </c>
      <c r="C19" s="18" t="inlineStr">
        <is>
          <t>UPI-GYMFIT-gymfit@okic</t>
        </is>
      </c>
      <c r="D19" s="18" t="inlineStr">
        <is>
          <t>00006420260224371</t>
        </is>
      </c>
      <c r="E19" s="24" t="n">
        <v>46077</v>
      </c>
      <c r="F19" s="20" t="n">
        <v>1200</v>
      </c>
      <c r="G19" s="25" t="n"/>
      <c r="H19" s="25" t="n">
        <v>119032</v>
      </c>
      <c r="I19" s="18" t="inlineStr">
        <is>
          <t>Health</t>
        </is>
      </c>
      <c r="J19" s="18" t="inlineStr"/>
      <c r="K19" s="18" t="inlineStr"/>
    </row>
    <row r="20">
      <c r="A20" s="22" t="n">
        <v>46084</v>
      </c>
      <c r="B20" s="14" t="inlineStr">
        <is>
          <t>Acme Corp</t>
        </is>
      </c>
      <c r="C20" s="14" t="inlineStr">
        <is>
          <t>SAL/ACME CORP/MAR</t>
        </is>
      </c>
      <c r="D20" s="14" t="inlineStr">
        <is>
          <t>00006420260303242</t>
        </is>
      </c>
      <c r="E20" s="22" t="n">
        <v>46084</v>
      </c>
      <c r="F20" s="23" t="n"/>
      <c r="G20" s="15" t="n">
        <v>71000</v>
      </c>
      <c r="H20" s="23" t="n">
        <v>190032</v>
      </c>
      <c r="I20" s="14" t="inlineStr">
        <is>
          <t>Salary / Income</t>
        </is>
      </c>
      <c r="J20" s="14" t="inlineStr"/>
      <c r="K20" s="14" t="inlineStr"/>
    </row>
    <row r="21">
      <c r="A21" s="24" t="n">
        <v>46087</v>
      </c>
      <c r="B21" s="18" t="inlineStr">
        <is>
          <t>Swiggy</t>
        </is>
      </c>
      <c r="C21" s="18" t="inlineStr">
        <is>
          <t>UPI-SWIGGY-swiggy@ybl</t>
        </is>
      </c>
      <c r="D21" s="18" t="inlineStr">
        <is>
          <t>00006420260306287</t>
        </is>
      </c>
      <c r="E21" s="24" t="n">
        <v>46087</v>
      </c>
      <c r="F21" s="20" t="n">
        <v>550</v>
      </c>
      <c r="G21" s="25" t="n"/>
      <c r="H21" s="25" t="n">
        <v>189482</v>
      </c>
      <c r="I21" s="18" t="inlineStr">
        <is>
          <t>Food &amp; Dining</t>
        </is>
      </c>
      <c r="J21" s="18" t="inlineStr"/>
      <c r="K21" s="18" t="inlineStr"/>
    </row>
    <row r="22">
      <c r="A22" s="22" t="n">
        <v>46091</v>
      </c>
      <c r="B22" s="14" t="inlineStr">
        <is>
          <t>Netflix</t>
        </is>
      </c>
      <c r="C22" s="14" t="inlineStr">
        <is>
          <t>UPI-NETFLIX-netflix-bil</t>
        </is>
      </c>
      <c r="D22" s="14" t="inlineStr">
        <is>
          <t>00006420260310704</t>
        </is>
      </c>
      <c r="E22" s="22" t="n">
        <v>46091</v>
      </c>
      <c r="F22" s="16" t="n">
        <v>649</v>
      </c>
      <c r="G22" s="23" t="n"/>
      <c r="H22" s="23" t="n">
        <v>188833</v>
      </c>
      <c r="I22" s="14" t="inlineStr">
        <is>
          <t>Entertainment</t>
        </is>
      </c>
      <c r="J22" s="14" t="inlineStr"/>
      <c r="K22" s="14" t="inlineStr"/>
    </row>
    <row r="23">
      <c r="A23" s="24" t="n">
        <v>46093</v>
      </c>
      <c r="B23" s="18" t="inlineStr">
        <is>
          <t>Uber</t>
        </is>
      </c>
      <c r="C23" s="18" t="inlineStr">
        <is>
          <t>UPI-UBER-uber@paytm</t>
        </is>
      </c>
      <c r="D23" s="18" t="inlineStr">
        <is>
          <t>00006420260312014</t>
        </is>
      </c>
      <c r="E23" s="24" t="n">
        <v>46093</v>
      </c>
      <c r="F23" s="20" t="n">
        <v>380</v>
      </c>
      <c r="G23" s="25" t="n"/>
      <c r="H23" s="25" t="n">
        <v>188453</v>
      </c>
      <c r="I23" s="18" t="inlineStr">
        <is>
          <t>Transport</t>
        </is>
      </c>
      <c r="J23" s="18" t="inlineStr"/>
      <c r="K23" s="18" t="inlineStr"/>
    </row>
    <row r="24">
      <c r="A24" s="22" t="n">
        <v>46096</v>
      </c>
      <c r="B24" s="14" t="inlineStr">
        <is>
          <t>Electricity Board</t>
        </is>
      </c>
      <c r="C24" s="14" t="inlineStr">
        <is>
          <t>UPI-ELECTRICITYBOARD-bil</t>
        </is>
      </c>
      <c r="D24" s="14" t="inlineStr">
        <is>
          <t>00006420260315351</t>
        </is>
      </c>
      <c r="E24" s="22" t="n">
        <v>46096</v>
      </c>
      <c r="F24" s="16" t="n">
        <v>1980</v>
      </c>
      <c r="G24" s="23" t="n"/>
      <c r="H24" s="23" t="n">
        <v>186473</v>
      </c>
      <c r="I24" s="14" t="inlineStr">
        <is>
          <t>Bills &amp; Utilities</t>
        </is>
      </c>
      <c r="J24" s="14" t="inlineStr"/>
      <c r="K24" s="14" t="inlineStr"/>
    </row>
    <row r="25">
      <c r="A25" s="24" t="n">
        <v>46101</v>
      </c>
      <c r="B25" s="18" t="inlineStr">
        <is>
          <t>Amazon</t>
        </is>
      </c>
      <c r="C25" s="18" t="inlineStr">
        <is>
          <t>UPI-AMAZON-amazon@apl</t>
        </is>
      </c>
      <c r="D25" s="18" t="inlineStr">
        <is>
          <t>00006420260320084</t>
        </is>
      </c>
      <c r="E25" s="24" t="n">
        <v>46101</v>
      </c>
      <c r="F25" s="20" t="n">
        <v>3100</v>
      </c>
      <c r="G25" s="25" t="n"/>
      <c r="H25" s="25" t="n">
        <v>183373</v>
      </c>
      <c r="I25" s="18" t="inlineStr">
        <is>
          <t>Shopping</t>
        </is>
      </c>
      <c r="J25" s="18" t="inlineStr"/>
      <c r="K25" s="18" t="inlineStr"/>
    </row>
    <row r="26">
      <c r="A26" s="22" t="n">
        <v>46117</v>
      </c>
      <c r="B26" s="14" t="inlineStr">
        <is>
          <t>AWS</t>
        </is>
      </c>
      <c r="C26" s="14" t="inlineStr">
        <is>
          <t>UPI-AWS-aws@billing</t>
        </is>
      </c>
      <c r="D26" s="14" t="inlineStr">
        <is>
          <t>00006420260405404</t>
        </is>
      </c>
      <c r="E26" s="22" t="n">
        <v>46117</v>
      </c>
      <c r="F26" s="16" t="n">
        <v>5200</v>
      </c>
      <c r="G26" s="23" t="n"/>
      <c r="H26" s="23" t="n">
        <v>178173</v>
      </c>
      <c r="I26" s="14" t="inlineStr">
        <is>
          <t>Bills &amp; Utilities</t>
        </is>
      </c>
      <c r="J26" s="14" t="inlineStr"/>
      <c r="K26" s="14" t="inlineStr"/>
    </row>
  </sheetData>
  <autoFilter ref="A1:K1"/>
  <dataValidations count="1">
    <dataValidation sqref="K2:K26" showDropDown="0" showInputMessage="0" showErrorMessage="0" allowBlank="1" errorTitle="Invalid entry" error="Choose one of: Yes - Business, No - Personal, Unsure" type="list">
      <formula1>"Yes - Business,No - Personal,Unsure"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13" t="inlineStr">
        <is>
          <t>Month</t>
        </is>
      </c>
      <c r="B1" s="13" t="inlineStr">
        <is>
          <t>Income (₹)</t>
        </is>
      </c>
      <c r="C1" s="13" t="inlineStr">
        <is>
          <t>Expense (₹)</t>
        </is>
      </c>
      <c r="D1" s="13" t="inlineStr">
        <is>
          <t>Net (₹)</t>
        </is>
      </c>
    </row>
    <row r="2">
      <c r="A2" s="14" t="inlineStr">
        <is>
          <t>Jan 2026</t>
        </is>
      </c>
      <c r="B2" s="15" t="n">
        <v>68000</v>
      </c>
      <c r="C2" s="16" t="n">
        <v>13939</v>
      </c>
      <c r="D2" s="17" t="n">
        <v>54061</v>
      </c>
    </row>
    <row r="3">
      <c r="A3" s="18" t="inlineStr">
        <is>
          <t>Feb 2026</t>
        </is>
      </c>
      <c r="B3" s="19" t="n">
        <v>68000</v>
      </c>
      <c r="C3" s="20" t="n">
        <v>53029</v>
      </c>
      <c r="D3" s="31" t="n">
        <v>14971</v>
      </c>
    </row>
    <row r="4">
      <c r="A4" s="14" t="inlineStr">
        <is>
          <t>Mar 2026</t>
        </is>
      </c>
      <c r="B4" s="15" t="n">
        <v>71000</v>
      </c>
      <c r="C4" s="16" t="n">
        <v>6659</v>
      </c>
      <c r="D4" s="17" t="n">
        <v>64341</v>
      </c>
    </row>
    <row r="5">
      <c r="A5" s="18" t="inlineStr">
        <is>
          <t>Apr 2026</t>
        </is>
      </c>
      <c r="B5" s="19" t="n">
        <v>0</v>
      </c>
      <c r="C5" s="20" t="n">
        <v>5200</v>
      </c>
      <c r="D5" s="21" t="n">
        <v>-5200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</cols>
  <sheetData>
    <row r="1">
      <c r="A1" s="13" t="inlineStr">
        <is>
          <t>Category</t>
        </is>
      </c>
      <c r="B1" s="13" t="inlineStr">
        <is>
          <t>Total (₹)</t>
        </is>
      </c>
      <c r="C1" s="13" t="inlineStr">
        <is>
          <t>Transactions</t>
        </is>
      </c>
    </row>
    <row r="2">
      <c r="A2" s="14" t="inlineStr">
        <is>
          <t>Salary / Income</t>
        </is>
      </c>
      <c r="B2" s="23" t="n">
        <v>207000</v>
      </c>
      <c r="C2" s="14" t="n">
        <v>3</v>
      </c>
    </row>
    <row r="3">
      <c r="A3" s="18" t="inlineStr">
        <is>
          <t>Shopping</t>
        </is>
      </c>
      <c r="B3" s="25" t="n">
        <v>58600</v>
      </c>
      <c r="C3" s="18" t="n">
        <v>5</v>
      </c>
    </row>
    <row r="4">
      <c r="A4" s="14" t="inlineStr">
        <is>
          <t>Bills &amp; Utilities</t>
        </is>
      </c>
      <c r="B4" s="23" t="n">
        <v>11530</v>
      </c>
      <c r="C4" s="14" t="n">
        <v>4</v>
      </c>
    </row>
    <row r="5">
      <c r="A5" s="18" t="inlineStr">
        <is>
          <t>Health</t>
        </is>
      </c>
      <c r="B5" s="25" t="n">
        <v>3260</v>
      </c>
      <c r="C5" s="18" t="n">
        <v>3</v>
      </c>
    </row>
    <row r="6">
      <c r="A6" s="14" t="inlineStr">
        <is>
          <t>Food &amp; Dining</t>
        </is>
      </c>
      <c r="B6" s="23" t="n">
        <v>2360</v>
      </c>
      <c r="C6" s="14" t="n">
        <v>4</v>
      </c>
    </row>
    <row r="7">
      <c r="A7" s="18" t="inlineStr">
        <is>
          <t>Entertainment</t>
        </is>
      </c>
      <c r="B7" s="25" t="n">
        <v>1947</v>
      </c>
      <c r="C7" s="18" t="n">
        <v>3</v>
      </c>
    </row>
    <row r="8">
      <c r="A8" s="14" t="inlineStr">
        <is>
          <t>Transport</t>
        </is>
      </c>
      <c r="B8" s="23" t="n">
        <v>1130</v>
      </c>
      <c r="C8" s="1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3" t="inlineStr">
        <is>
          <t>Merchant</t>
        </is>
      </c>
      <c r="B1" s="13" t="inlineStr">
        <is>
          <t>Total Spend (Rs.)</t>
        </is>
      </c>
    </row>
    <row r="2">
      <c r="A2" s="14" t="inlineStr">
        <is>
          <t>Croma Electronics</t>
        </is>
      </c>
      <c r="B2" s="23" t="n">
        <v>45000</v>
      </c>
    </row>
    <row r="3">
      <c r="A3" s="18" t="inlineStr">
        <is>
          <t>Amazon</t>
        </is>
      </c>
      <c r="B3" s="25" t="n">
        <v>7600</v>
      </c>
    </row>
    <row r="4">
      <c r="A4" s="14" t="inlineStr">
        <is>
          <t>Electricity Board</t>
        </is>
      </c>
      <c r="B4" s="23" t="n">
        <v>6330</v>
      </c>
    </row>
    <row r="5">
      <c r="A5" s="18" t="inlineStr">
        <is>
          <t>Big Bazaar</t>
        </is>
      </c>
      <c r="B5" s="25" t="n">
        <v>6000</v>
      </c>
    </row>
    <row r="6">
      <c r="A6" s="14" t="inlineStr">
        <is>
          <t>AWS</t>
        </is>
      </c>
      <c r="B6" s="23" t="n">
        <v>5200</v>
      </c>
    </row>
    <row r="7">
      <c r="A7" s="18" t="inlineStr">
        <is>
          <t>Gym Fit</t>
        </is>
      </c>
      <c r="B7" s="25" t="n">
        <v>2400</v>
      </c>
    </row>
    <row r="8">
      <c r="A8" s="14" t="inlineStr">
        <is>
          <t>Swiggy</t>
        </is>
      </c>
      <c r="B8" s="23" t="n">
        <v>2360</v>
      </c>
    </row>
    <row r="9">
      <c r="A9" s="18" t="inlineStr">
        <is>
          <t>Netflix</t>
        </is>
      </c>
      <c r="B9" s="25" t="n">
        <v>1947</v>
      </c>
    </row>
    <row r="10">
      <c r="A10" s="14" t="inlineStr">
        <is>
          <t>Uber</t>
        </is>
      </c>
      <c r="B10" s="23" t="n">
        <v>1130</v>
      </c>
    </row>
    <row r="11">
      <c r="A11" s="18" t="inlineStr">
        <is>
          <t>Apollo Pharmacy</t>
        </is>
      </c>
      <c r="B11" s="25" t="n">
        <v>860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6" customWidth="1" min="4" max="4"/>
    <col width="22" customWidth="1" min="5" max="5"/>
    <col width="16" customWidth="1" min="6" max="6"/>
  </cols>
  <sheetData>
    <row r="1" ht="20" customHeight="1">
      <c r="A1" s="32" t="inlineStr">
        <is>
          <t>Unusual Transactions — These payments are much larger than normal (click to jump to all transactions)</t>
        </is>
      </c>
    </row>
    <row r="2" ht="16" customHeight="1">
      <c r="A2" s="33" t="inlineStr">
        <is>
          <t>How this works: We looked at all 22 expense transactions in your statement.</t>
        </is>
      </c>
    </row>
    <row r="3" ht="16" customHeight="1">
      <c r="A3" s="34" t="inlineStr">
        <is>
          <t>Your typical (average) transaction is Rs. 3,583.</t>
        </is>
      </c>
    </row>
    <row r="4" ht="16" customHeight="1">
      <c r="A4" s="34" t="inlineStr">
        <is>
          <t>Transactions more than Rs. 21,862 are flagged below — these stand out as unusually large.</t>
        </is>
      </c>
    </row>
    <row r="5" ht="16" customHeight="1">
      <c r="A5" s="34" t="inlineStr">
        <is>
          <t>This helps you spot: accidental double payments, fraud, or big spends you may have forgotten.</t>
        </is>
      </c>
    </row>
    <row r="6" ht="8" customHeight="1"/>
    <row r="7">
      <c r="A7" s="35" t="inlineStr">
        <is>
          <t>Date</t>
        </is>
      </c>
      <c r="B7" s="35" t="inlineStr">
        <is>
          <t>Who was paid</t>
        </is>
      </c>
      <c r="C7" s="35" t="inlineStr">
        <is>
          <t>Full narration</t>
        </is>
      </c>
      <c r="D7" s="35" t="inlineStr">
        <is>
          <t>Amount paid (Rs.)</t>
        </is>
      </c>
      <c r="E7" s="35" t="inlineStr">
        <is>
          <t>Category</t>
        </is>
      </c>
      <c r="F7" s="35" t="inlineStr">
        <is>
          <t>Audit trail</t>
        </is>
      </c>
    </row>
    <row r="8">
      <c r="A8" s="26" t="n">
        <v>46062</v>
      </c>
      <c r="B8" s="27" t="inlineStr">
        <is>
          <t>Croma Electronics</t>
        </is>
      </c>
      <c r="C8" s="27" t="inlineStr">
        <is>
          <t>UPI-CROMA-electronics</t>
        </is>
      </c>
      <c r="D8" s="36" t="n">
        <v>45000</v>
      </c>
      <c r="E8" s="27" t="inlineStr">
        <is>
          <t>Shopping</t>
        </is>
      </c>
      <c r="F8" s="37" t="inlineStr">
        <is>
          <t>→ View row</t>
        </is>
      </c>
    </row>
    <row r="10">
      <c r="A10" s="38" t="inlineStr">
        <is>
          <t>Why each transaction above was flagged:</t>
        </is>
      </c>
    </row>
    <row r="11" ht="18" customHeight="1">
      <c r="A11" s="39" t="inlineStr">
        <is>
          <t>Croma Electronics — Rs. 45,000 on 09 Feb 2026. This is 12.6x your average spend of Rs. 3,583. Category: Shopping.</t>
        </is>
      </c>
    </row>
  </sheetData>
  <mergeCells count="7">
    <mergeCell ref="A4:E4"/>
    <mergeCell ref="A2:E2"/>
    <mergeCell ref="A10:E10"/>
    <mergeCell ref="A11:E11"/>
    <mergeCell ref="A1:E1"/>
    <mergeCell ref="A5:E5"/>
    <mergeCell ref="A3:E3"/>
  </mergeCells>
  <hyperlinks>
    <hyperlink xmlns:r="http://schemas.openxmlformats.org/officeDocument/2006/relationships" ref="A1" r:id="rId1"/>
    <hyperlink xmlns:r="http://schemas.openxmlformats.org/officeDocument/2006/relationships" ref="F8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2026-07-18T10:40:07Z</dcterms:created>
  <dcterms:modified xsi:type="dcterms:W3CDTF">2026-07-18T10:40:07Z</dcterms:modified>
</cp:coreProperties>
</file>